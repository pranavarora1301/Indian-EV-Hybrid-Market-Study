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 Annual Sales" sheetId="1" state="visible" r:id="rId3"/>
    <sheet name="EV Segment Breakdown" sheetId="2" state="visible" r:id="rId4"/>
    <sheet name="Hybrid Vehicle Market" sheetId="3" state="visible" r:id="rId5"/>
    <sheet name="E-4W OEM Market Share" sheetId="4" state="visible" r:id="rId6"/>
    <sheet name="State-wise EV Data" sheetId="5" state="visible" r:id="rId7"/>
    <sheet name="Govt Policies" sheetId="6" state="visible" r:id="rId8"/>
    <sheet name="Future Projections" sheetId="7" state="visible" r:id="rId9"/>
    <sheet name="Charging Infrastructur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<sst xmlns="http://schemas.openxmlformats.org/spreadsheetml/2006/main" count="395" uniqueCount="317">
  <si>
    <t xml:space="preserve">Year</t>
  </si>
  <si>
    <t xml:space="preserve">Total EVs (Units)</t>
  </si>
  <si>
    <t xml:space="preserve">Total Vehicles (Units)</t>
  </si>
  <si>
    <t xml:space="preserve">EV Market Share (%)</t>
  </si>
  <si>
    <t xml:space="preserve">YoY Growth (%)</t>
  </si>
  <si>
    <t xml:space="preserve">Source</t>
  </si>
  <si>
    <t xml:space="preserve">2019</t>
  </si>
  <si>
    <t xml:space="preserve">~0.60%</t>
  </si>
  <si>
    <t xml:space="preserve">N/A</t>
  </si>
  <si>
    <t xml:space="preserve">VAHAN / Deccan Herald</t>
  </si>
  <si>
    <t xml:space="preserve">2020</t>
  </si>
  <si>
    <t xml:space="preserve">~0.40%</t>
  </si>
  <si>
    <t xml:space="preserve">-28.0%</t>
  </si>
  <si>
    <t xml:space="preserve">2021</t>
  </si>
  <si>
    <t xml:space="preserve">~1.20%</t>
  </si>
  <si>
    <t xml:space="preserve">+166.1%</t>
  </si>
  <si>
    <t xml:space="preserve">2022</t>
  </si>
  <si>
    <t xml:space="preserve">~3.80%</t>
  </si>
  <si>
    <t xml:space="preserve">+218.3%</t>
  </si>
  <si>
    <t xml:space="preserve">VAHAN / FADA</t>
  </si>
  <si>
    <t xml:space="preserve">2023</t>
  </si>
  <si>
    <t xml:space="preserve">4.44%</t>
  </si>
  <si>
    <t xml:space="preserve">+49.3%</t>
  </si>
  <si>
    <t xml:space="preserve">FADA / MHI Statement</t>
  </si>
  <si>
    <t xml:space="preserve">2024</t>
  </si>
  <si>
    <t xml:space="preserve">5.59%</t>
  </si>
  <si>
    <t xml:space="preserve">-8.0%</t>
  </si>
  <si>
    <t xml:space="preserve">MHI / FADA (H.D.Kumaraswamy Jan 2025)</t>
  </si>
  <si>
    <t xml:space="preserve">2025</t>
  </si>
  <si>
    <t xml:space="preserve">8.00%</t>
  </si>
  <si>
    <t xml:space="preserve">+61.2%</t>
  </si>
  <si>
    <t xml:space="preserve">VAHAN / IESA Annual Report 2025</t>
  </si>
  <si>
    <t xml:space="preserve">Source: VAHAN Portal (MoRTH), FADA retail data, IESA Annual EV Report 2025, MHI statements.</t>
  </si>
  <si>
    <t xml:space="preserve">Vehicle Segment</t>
  </si>
  <si>
    <t xml:space="preserve">CY2025 Units</t>
  </si>
  <si>
    <t xml:space="preserve">Share of EV Sales (%)</t>
  </si>
  <si>
    <t xml:space="preserve">YoY Growth (2024→25)</t>
  </si>
  <si>
    <t xml:space="preserve">EV Penetration in Segment</t>
  </si>
  <si>
    <t xml:space="preserve">Electric 2-Wheeler (e-2W, high speed)</t>
  </si>
  <si>
    <t xml:space="preserve">56.4%</t>
  </si>
  <si>
    <t xml:space="preserve">+11.4%</t>
  </si>
  <si>
    <t xml:space="preserve">6.3% of all 2W</t>
  </si>
  <si>
    <t xml:space="preserve">VAHAN/EVreporter CY2025</t>
  </si>
  <si>
    <t xml:space="preserve">Electric 3W Passenger (L5M)</t>
  </si>
  <si>
    <t xml:space="preserve">25.5%</t>
  </si>
  <si>
    <t xml:space="preserve">+32.0%</t>
  </si>
  <si>
    <t xml:space="preserve">31.8% of all 3W Pax</t>
  </si>
  <si>
    <t xml:space="preserve">Electric 3W Cargo/E-rickshaw</t>
  </si>
  <si>
    <t xml:space="preserve">9.7%</t>
  </si>
  <si>
    <t xml:space="preserve">+18.5%</t>
  </si>
  <si>
    <t xml:space="preserve">~12% of 3W cargo</t>
  </si>
  <si>
    <t xml:space="preserve">Electric 4-Wheeler (e-4W)</t>
  </si>
  <si>
    <t xml:space="preserve">8.7%</t>
  </si>
  <si>
    <t xml:space="preserve">+85.1%</t>
  </si>
  <si>
    <t xml:space="preserve">4.3% of all PV</t>
  </si>
  <si>
    <t xml:space="preserve">Electric Buses</t>
  </si>
  <si>
    <t xml:space="preserve">0.3%</t>
  </si>
  <si>
    <t xml:space="preserve">+10.0%</t>
  </si>
  <si>
    <t xml:space="preserve">~6% of buses</t>
  </si>
  <si>
    <t xml:space="preserve">VAHAN / PM-eBus data</t>
  </si>
  <si>
    <t xml:space="preserve">Electric Goods Carrier (LCV/N1-N3)</t>
  </si>
  <si>
    <t xml:space="preserve">0.7%</t>
  </si>
  <si>
    <t xml:space="preserve">+42.0%</t>
  </si>
  <si>
    <t xml:space="preserve">~1% of LCV</t>
  </si>
  <si>
    <t xml:space="preserve">VAHAN / EVreporter</t>
  </si>
  <si>
    <t xml:space="preserve">TOTAL</t>
  </si>
  <si>
    <t xml:space="preserve">100%</t>
  </si>
  <si>
    <t xml:space="preserve">~61%</t>
  </si>
  <si>
    <t xml:space="preserve">8.0% overall</t>
  </si>
  <si>
    <t xml:space="preserve">VAHAN Portal</t>
  </si>
  <si>
    <t xml:space="preserve">Source: EVreporter CY 2025 Annual Insights based on VAHAN Dashboard (data as of Jan 2, 2026). Excludes Telangana &amp; low-speed e-2W.</t>
  </si>
  <si>
    <t xml:space="preserve">Period</t>
  </si>
  <si>
    <t xml:space="preserve">Hybrid Sales (Units)</t>
  </si>
  <si>
    <t xml:space="preserve">Type Focus</t>
  </si>
  <si>
    <t xml:space="preserve">Key Models</t>
  </si>
  <si>
    <t xml:space="preserve">Market Share Leader</t>
  </si>
  <si>
    <t xml:space="preserve">FY 2021</t>
  </si>
  <si>
    <t xml:space="preserve">Mild + Strong</t>
  </si>
  <si>
    <t xml:space="preserve">Toyota Camry, Vellfire</t>
  </si>
  <si>
    <t xml:space="preserve">Toyota &gt;90%</t>
  </si>
  <si>
    <t xml:space="preserve">IMARC / Company Reports</t>
  </si>
  <si>
    <t xml:space="preserve">FY 2022</t>
  </si>
  <si>
    <t xml:space="preserve">Toyota Innova Hycross (launch)</t>
  </si>
  <si>
    <t xml:space="preserve">Toyota ~90%</t>
  </si>
  <si>
    <t xml:space="preserve">Industry estimates</t>
  </si>
  <si>
    <t xml:space="preserve">FY 2023</t>
  </si>
  <si>
    <t xml:space="preserve">Innova Hycross, Hyryder launch</t>
  </si>
  <si>
    <t xml:space="preserve">Toyota ~85%</t>
  </si>
  <si>
    <t xml:space="preserve">FY 2024</t>
  </si>
  <si>
    <t xml:space="preserve">Strong + Mild</t>
  </si>
  <si>
    <t xml:space="preserve">Innova Hycross, Grand Vitara, City e:HEV</t>
  </si>
  <si>
    <t xml:space="preserve">Toyota 82% (VAHAN)</t>
  </si>
  <si>
    <t xml:space="preserve">Research&amp;Markets / VAHAN</t>
  </si>
  <si>
    <t xml:space="preserve">Q1 FY2025 (Strong)</t>
  </si>
  <si>
    <t xml:space="preserve">Strong Hybrid Only</t>
  </si>
  <si>
    <t xml:space="preserve">Hycross, Hyryder, Invicto, City eHEV</t>
  </si>
  <si>
    <t xml:space="preserve">Toyota 82%</t>
  </si>
  <si>
    <t xml:space="preserve">VAHAN / Autocar India</t>
  </si>
  <si>
    <t xml:space="preserve">Q1 FY2026 (Strong)</t>
  </si>
  <si>
    <t xml:space="preserve">Same + new models</t>
  </si>
  <si>
    <t xml:space="preserve">Toyota 81%</t>
  </si>
  <si>
    <t xml:space="preserve">VAHAN / Autocar India (Jul 2025)</t>
  </si>
  <si>
    <t xml:space="preserve">STRONG HYBRID OEM SHARE (Q1 FY2026)</t>
  </si>
  <si>
    <t xml:space="preserve">OEM</t>
  </si>
  <si>
    <t xml:space="preserve">Units Q1 FY26</t>
  </si>
  <si>
    <t xml:space="preserve">Market Share (%)</t>
  </si>
  <si>
    <t xml:space="preserve">YoY Change</t>
  </si>
  <si>
    <t xml:space="preserve">Models</t>
  </si>
  <si>
    <t xml:space="preserve">Toyota India</t>
  </si>
  <si>
    <t xml:space="preserve">81%</t>
  </si>
  <si>
    <t xml:space="preserve">+100% YoY</t>
  </si>
  <si>
    <t xml:space="preserve">Innova Hycross, Hyryder, Vellfire, Camry</t>
  </si>
  <si>
    <t xml:space="preserve">Maruti Suzuki India</t>
  </si>
  <si>
    <t xml:space="preserve">18%</t>
  </si>
  <si>
    <t xml:space="preserve">+263% YoY</t>
  </si>
  <si>
    <t xml:space="preserve">Grand Vitara Hybrid, Invicto</t>
  </si>
  <si>
    <t xml:space="preserve">Honda Cars India</t>
  </si>
  <si>
    <t xml:space="preserve">&lt;1%</t>
  </si>
  <si>
    <t xml:space="preserve">City e:HEV</t>
  </si>
  <si>
    <t xml:space="preserve">Source: Autocar India (Jul 2025); Research &amp; Markets; VAHAN Portal; Industry estimates.</t>
  </si>
  <si>
    <t xml:space="preserve">CY2024 Units</t>
  </si>
  <si>
    <t xml:space="preserve">CY2024 Share (%)</t>
  </si>
  <si>
    <t xml:space="preserve">CY2025 Share (%)</t>
  </si>
  <si>
    <t xml:space="preserve">Tata Motors</t>
  </si>
  <si>
    <t xml:space="preserve">61.2%</t>
  </si>
  <si>
    <t xml:space="preserve">39.1%</t>
  </si>
  <si>
    <t xml:space="preserve">+28.2%</t>
  </si>
  <si>
    <t xml:space="preserve">EVreporter CY2025</t>
  </si>
  <si>
    <t xml:space="preserve">Mahindra &amp; Mahindra</t>
  </si>
  <si>
    <t xml:space="preserve">5.1%</t>
  </si>
  <si>
    <t xml:space="preserve">25.2%</t>
  </si>
  <si>
    <t xml:space="preserve">+395.9%</t>
  </si>
  <si>
    <t xml:space="preserve">JSW MG Motor India</t>
  </si>
  <si>
    <t xml:space="preserve">14.3%</t>
  </si>
  <si>
    <t xml:space="preserve">17.3%</t>
  </si>
  <si>
    <t xml:space="preserve">+142.9%</t>
  </si>
  <si>
    <t xml:space="preserve">BYD India</t>
  </si>
  <si>
    <t xml:space="preserve">4.6%</t>
  </si>
  <si>
    <t xml:space="preserve">+80.0%</t>
  </si>
  <si>
    <t xml:space="preserve">Hyundai Motor India</t>
  </si>
  <si>
    <t xml:space="preserve">4.1%</t>
  </si>
  <si>
    <t xml:space="preserve">3.8%</t>
  </si>
  <si>
    <t xml:space="preserve">+87.5%</t>
  </si>
  <si>
    <t xml:space="preserve">Others</t>
  </si>
  <si>
    <t xml:space="preserve">9.8%</t>
  </si>
  <si>
    <t xml:space="preserve">+294.7%</t>
  </si>
  <si>
    <t xml:space="preserve">~100%</t>
  </si>
  <si>
    <t xml:space="preserve">Source: EVreporter CY2025 Annual Insights; VAHAN Portal. CY2024 figures approximate.</t>
  </si>
  <si>
    <t xml:space="preserve">State/UT</t>
  </si>
  <si>
    <t xml:space="preserve">EV Sales CY2025 (Est. Units)</t>
  </si>
  <si>
    <t xml:space="preserve">Share of National EV Sales (%)</t>
  </si>
  <si>
    <t xml:space="preserve">EV-to-ICE Ratio (%)</t>
  </si>
  <si>
    <t xml:space="preserve">Key Policy Highlights</t>
  </si>
  <si>
    <t xml:space="preserve">Uttar Pradesh</t>
  </si>
  <si>
    <t xml:space="preserve">9%</t>
  </si>
  <si>
    <t xml:space="preserve">100% reg. tax waiver on strong hybrids (Jul 2024)</t>
  </si>
  <si>
    <t xml:space="preserve">IESA / VAHAN</t>
  </si>
  <si>
    <t xml:space="preserve">Maharashtra</t>
  </si>
  <si>
    <t xml:space="preserve">11%</t>
  </si>
  <si>
    <t xml:space="preserve">7%</t>
  </si>
  <si>
    <t xml:space="preserve">EV policy subsidies; Mumbai charging push</t>
  </si>
  <si>
    <t xml:space="preserve">Karnataka</t>
  </si>
  <si>
    <t xml:space="preserve">8%</t>
  </si>
  <si>
    <t xml:space="preserve">6%</t>
  </si>
  <si>
    <t xml:space="preserve">EV manufacturing hub; Bangalore EV policy</t>
  </si>
  <si>
    <t xml:space="preserve">Delhi</t>
  </si>
  <si>
    <t xml:space="preserve">14%</t>
  </si>
  <si>
    <t xml:space="preserve">Lowest EV tariff; fast-charger-every-5-km target</t>
  </si>
  <si>
    <t xml:space="preserve">IESA / EVreporter</t>
  </si>
  <si>
    <t xml:space="preserve">Rajasthan</t>
  </si>
  <si>
    <t xml:space="preserve">5%</t>
  </si>
  <si>
    <t xml:space="preserve">State EV policy 2022; capital subsidy</t>
  </si>
  <si>
    <t xml:space="preserve">Gujarat</t>
  </si>
  <si>
    <t xml:space="preserve">Manufacturing incentives; PCPIR zone</t>
  </si>
  <si>
    <t xml:space="preserve">Tamil Nadu</t>
  </si>
  <si>
    <t xml:space="preserve">4%</t>
  </si>
  <si>
    <t xml:space="preserve">90% chargers within 1km of highway (2026 est.)</t>
  </si>
  <si>
    <t xml:space="preserve">EVreporter / ITDP</t>
  </si>
  <si>
    <t xml:space="preserve">Kerala</t>
  </si>
  <si>
    <t xml:space="preserve">12%</t>
  </si>
  <si>
    <t xml:space="preserve">State FAME-like subsidies; strong EV culture</t>
  </si>
  <si>
    <t xml:space="preserve">EVreporter / IESA</t>
  </si>
  <si>
    <t xml:space="preserve">Assam</t>
  </si>
  <si>
    <t xml:space="preserve">2%</t>
  </si>
  <si>
    <t xml:space="preserve">North-east EV penetration program</t>
  </si>
  <si>
    <t xml:space="preserve">EVreporter</t>
  </si>
  <si>
    <t xml:space="preserve">Tripura</t>
  </si>
  <si>
    <t xml:space="preserve">0.5%</t>
  </si>
  <si>
    <t xml:space="preserve">Highest EV-to-ICE ratio in India (2025)</t>
  </si>
  <si>
    <t xml:space="preserve">Rest of India</t>
  </si>
  <si>
    <t xml:space="preserve">36%</t>
  </si>
  <si>
    <t xml:space="preserve">~6%</t>
  </si>
  <si>
    <t xml:space="preserve">Emerging markets</t>
  </si>
  <si>
    <t xml:space="preserve">Derived</t>
  </si>
  <si>
    <t xml:space="preserve">Source: IESA Annual Report 2025; EVreporter; DD News (Vahan Portal); ITDP Report Nov 2025. Units are estimates.</t>
  </si>
  <si>
    <t xml:space="preserve">Policy / Scheme</t>
  </si>
  <si>
    <t xml:space="preserve">Outlay (₹ Crore)</t>
  </si>
  <si>
    <t xml:space="preserve">Primary Focus</t>
  </si>
  <si>
    <t xml:space="preserve">Key Achievement / Target</t>
  </si>
  <si>
    <t xml:space="preserve">FAME-I (Phase 1)</t>
  </si>
  <si>
    <t xml:space="preserve">2015–2019</t>
  </si>
  <si>
    <t xml:space="preserve">895</t>
  </si>
  <si>
    <t xml:space="preserve">EV demand subsidy, R&amp;D</t>
  </si>
  <si>
    <t xml:space="preserve">Seeded EV adoption ecosystem</t>
  </si>
  <si>
    <t xml:space="preserve">MHI</t>
  </si>
  <si>
    <t xml:space="preserve">FAME-II (Phase 2)</t>
  </si>
  <si>
    <t xml:space="preserve">Apr 2019–Mar 2024</t>
  </si>
  <si>
    <t xml:space="preserve">11,500</t>
  </si>
  <si>
    <t xml:space="preserve">e-2W, e-3W, e-Bus, chargers</t>
  </si>
  <si>
    <t xml:space="preserve">16.29 lakh EVs supported; 8,885 chargers installed</t>
  </si>
  <si>
    <t xml:space="preserve">MHI / Bolt.Earth</t>
  </si>
  <si>
    <t xml:space="preserve">PM E-DRIVE Scheme</t>
  </si>
  <si>
    <t xml:space="preserve">Oct 2024–2028</t>
  </si>
  <si>
    <t xml:space="preserve">10,900</t>
  </si>
  <si>
    <t xml:space="preserve">e-2W, e-3W, e-Bus, e-Truck, e-Ambulance, 72,300 chargers</t>
  </si>
  <si>
    <t xml:space="preserve">Targets 25 lakh new EVs; ₹2,000 Cr for chargers</t>
  </si>
  <si>
    <t xml:space="preserve">MHI / Diyguru / PM E-DRIVE Notif.</t>
  </si>
  <si>
    <t xml:space="preserve">ACC PLI Scheme</t>
  </si>
  <si>
    <t xml:space="preserve">2021–2028</t>
  </si>
  <si>
    <t xml:space="preserve">18,100</t>
  </si>
  <si>
    <t xml:space="preserve">50 GWh battery cell manufacturing</t>
  </si>
  <si>
    <t xml:space="preserve">Beneficiaries: Ola, Reliance, Rajesh Exports</t>
  </si>
  <si>
    <t xml:space="preserve">MHI / Diyguru</t>
  </si>
  <si>
    <t xml:space="preserve">Auto &amp; Components PLI</t>
  </si>
  <si>
    <t xml:space="preserve">2021–2027</t>
  </si>
  <si>
    <t xml:space="preserve">25,938</t>
  </si>
  <si>
    <t xml:space="preserve">EV components, motors, BMS</t>
  </si>
  <si>
    <t xml:space="preserve">82 approvals; ₹20,715 Cr investment by Sep 2024</t>
  </si>
  <si>
    <t xml:space="preserve">MHI Statement Jan 2025</t>
  </si>
  <si>
    <t xml:space="preserve">PM-eBus Sewa</t>
  </si>
  <si>
    <t xml:space="preserve">2023–2033</t>
  </si>
  <si>
    <t xml:space="preserve">20,000</t>
  </si>
  <si>
    <t xml:space="preserve">10,000 e-buses via PPP (OPEX per-km funding)</t>
  </si>
  <si>
    <t xml:space="preserve">14,000+ e-buses by Jul 2025</t>
  </si>
  <si>
    <t xml:space="preserve">MHI / IBEF</t>
  </si>
  <si>
    <t xml:space="preserve">GST Reduction on EVs</t>
  </si>
  <si>
    <t xml:space="preserve">Ongoing</t>
  </si>
  <si>
    <t xml:space="preserve">Fiscal demand incentive</t>
  </si>
  <si>
    <t xml:space="preserve">EVs: 5% GST vs 28% for ICE; Charger GST: 5%</t>
  </si>
  <si>
    <t xml:space="preserve">MoF / GST Council</t>
  </si>
  <si>
    <t xml:space="preserve">Customs Duty Waiver</t>
  </si>
  <si>
    <t xml:space="preserve">Budget 2025-26</t>
  </si>
  <si>
    <t xml:space="preserve">Critical minerals + battery cell machinery</t>
  </si>
  <si>
    <t xml:space="preserve">Removed BCD on Li-ion cell machinery &amp; critical minerals</t>
  </si>
  <si>
    <t xml:space="preserve">Budget 2025-26 / Diyguru</t>
  </si>
  <si>
    <t xml:space="preserve">Source: MHI (heavyindustries.gov.in), Bolt.Earth blog, Diyguru India EV Policy Guide (Apr 2026), Union Budget 2025-26.</t>
  </si>
  <si>
    <t xml:space="preserve">EV Sales (Million)</t>
  </si>
  <si>
    <t xml:space="preserve">Hybrid Sales (Million)</t>
  </si>
  <si>
    <t xml:space="preserve">Total EV+Hybrid (Million)</t>
  </si>
  <si>
    <t xml:space="preserve">Notes / Basis</t>
  </si>
  <si>
    <t xml:space="preserve">2022 (Actual)</t>
  </si>
  <si>
    <t xml:space="preserve">Actual – FADA/VAHAN</t>
  </si>
  <si>
    <t xml:space="preserve">FADA / VAHAN</t>
  </si>
  <si>
    <t xml:space="preserve">2023 (Actual)</t>
  </si>
  <si>
    <t xml:space="preserve">2024 (Actual)</t>
  </si>
  <si>
    <t xml:space="preserve">Actual – MHI/VAHAN/R&amp;M</t>
  </si>
  <si>
    <t xml:space="preserve">MHI / VAHAN</t>
  </si>
  <si>
    <t xml:space="preserve">2025 (Actual)</t>
  </si>
  <si>
    <t xml:space="preserve">8.0%</t>
  </si>
  <si>
    <t xml:space="preserve">Actual – IESA/VAHAN</t>
  </si>
  <si>
    <t xml:space="preserve">2026 (Est.)</t>
  </si>
  <si>
    <t xml:space="preserve">~10%</t>
  </si>
  <si>
    <t xml:space="preserve">PM E-DRIVE concludes; CAGR est.</t>
  </si>
  <si>
    <t xml:space="preserve">IBEF / Industry</t>
  </si>
  <si>
    <t xml:space="preserve">2027 (Est.)</t>
  </si>
  <si>
    <t xml:space="preserve">~13%</t>
  </si>
  <si>
    <t xml:space="preserve">Hyundai hybrid entry; PLI scale</t>
  </si>
  <si>
    <t xml:space="preserve">Research &amp; Markets</t>
  </si>
  <si>
    <t xml:space="preserve">2028 (Est.)</t>
  </si>
  <si>
    <t xml:space="preserve">~17%</t>
  </si>
  <si>
    <t xml:space="preserve">PM-eBus 10k fleet; ACC PLI matures</t>
  </si>
  <si>
    <t xml:space="preserve">2029 (Est.)</t>
  </si>
  <si>
    <t xml:space="preserve">~22%</t>
  </si>
  <si>
    <t xml:space="preserve">Aggressive adoption scenario</t>
  </si>
  <si>
    <t xml:space="preserve">Research &amp; Markets / NITI</t>
  </si>
  <si>
    <t xml:space="preserve">2030 (Target)</t>
  </si>
  <si>
    <t xml:space="preserve">30%</t>
  </si>
  <si>
    <t xml:space="preserve">Government EV30@30 target</t>
  </si>
  <si>
    <t xml:space="preserve">NITI Aayog / MHI</t>
  </si>
  <si>
    <t xml:space="preserve">Source: Actual: VAHAN Portal/IESA/MHI/FADA. Estimates: Research &amp; Markets, NITI Aayog, IBEF. Projections are indicative market estimates.</t>
  </si>
  <si>
    <t xml:space="preserve">Metric</t>
  </si>
  <si>
    <t xml:space="preserve">Value</t>
  </si>
  <si>
    <t xml:space="preserve">Unit</t>
  </si>
  <si>
    <t xml:space="preserve">Public charging stations (operational)</t>
  </si>
  <si>
    <t xml:space="preserve">Stations</t>
  </si>
  <si>
    <t xml:space="preserve">Dec 2025</t>
  </si>
  <si>
    <t xml:space="preserve">FAME-II chargers sanctioned</t>
  </si>
  <si>
    <t xml:space="preserve">By Mar 2024</t>
  </si>
  <si>
    <t xml:space="preserve">Bolt.Earth / MHI</t>
  </si>
  <si>
    <t xml:space="preserve">FAME-II chargers installed</t>
  </si>
  <si>
    <t xml:space="preserve">PM E-DRIVE charger target</t>
  </si>
  <si>
    <t xml:space="preserve">FY 2025-26</t>
  </si>
  <si>
    <t xml:space="preserve">MHI PM E-DRIVE Notification</t>
  </si>
  <si>
    <t xml:space="preserve">PM E-DRIVE – DC Fast Chargers (cars)</t>
  </si>
  <si>
    <t xml:space="preserve">Chargers</t>
  </si>
  <si>
    <t xml:space="preserve">FY26 target</t>
  </si>
  <si>
    <t xml:space="preserve">PM E-DRIVE – E-Bus chargers</t>
  </si>
  <si>
    <t xml:space="preserve">PM E-DRIVE – 2W/3W chargers</t>
  </si>
  <si>
    <t xml:space="preserve">Highway chargers (BEE EVYatra)</t>
  </si>
  <si>
    <t xml:space="preserve">Mid-2025</t>
  </si>
  <si>
    <t xml:space="preserve">EMobility Academy</t>
  </si>
  <si>
    <t xml:space="preserve">Total mapped on BEE EVYatra portal</t>
  </si>
  <si>
    <t xml:space="preserve">Stations needed for 30% EV by 2030</t>
  </si>
  <si>
    <t xml:space="preserve">2030 estimate</t>
  </si>
  <si>
    <t xml:space="preserve">ORF / MMCM.in</t>
  </si>
  <si>
    <t xml:space="preserve">New chargers needed per year (2025-30)</t>
  </si>
  <si>
    <t xml:space="preserve">Chargers/year</t>
  </si>
  <si>
    <t xml:space="preserve">CII estimate</t>
  </si>
  <si>
    <t xml:space="preserve">CII / MMCM.in</t>
  </si>
  <si>
    <t xml:space="preserve">PM E-DRIVE allocation for chargers</t>
  </si>
  <si>
    <t xml:space="preserve">₹ Crore</t>
  </si>
  <si>
    <t xml:space="preserve">2024-2028</t>
  </si>
  <si>
    <t xml:space="preserve">Subsidy on upstream power infra (PM E-DRIVE)</t>
  </si>
  <si>
    <t xml:space="preserve">80%</t>
  </si>
  <si>
    <t xml:space="preserve">% of cost</t>
  </si>
  <si>
    <t xml:space="preserve">MHI / MMCM.in</t>
  </si>
  <si>
    <t xml:space="preserve">Source: MHI (heavyindustries.gov.in), Bolt.Earth blog, MMCM.in EV charging analysis (May 2026), EMobility Academy, IBEF.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</si>
</sst>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8F4F8"/>
        <bgColor rgb="FFE8FFE8"/>
      </patternFill>
    </fill>
    <fill>
      <patternFill patternType="solid">
        <fgColor rgb="FFFFFFFF"/>
        <bgColor rgb="FFE8FFE8"/>
      </patternFill>
    </fill>
    <fill>
      <patternFill patternType="solid">
        <fgColor rgb="FFD0F0FF"/>
        <bgColor rgb="FFE8F4F8"/>
      </patternFill>
    </fill>
    <fill>
      <patternFill patternType="solid">
        <fgColor rgb="FFFF6B35"/>
        <bgColor rgb="FFFF8080"/>
      </patternFill>
    </fill>
    <fill>
      <patternFill patternType="solid">
        <fgColor rgb="FF06D6A0"/>
        <bgColor rgb="FF00CCFF"/>
      </patternFill>
    </fill>
    <fill>
      <patternFill patternType="solid">
        <fgColor rgb="FFE8FFE8"/>
        <bgColor rgb="FFE8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8FFE8"/>
      <rgbColor rgb="FFD0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8"/>
      <rgbColor rgb="FFCCFFCC"/>
      <rgbColor rgb="FFFFFF99"/>
      <rgbColor rgb="FF99CCFF"/>
      <rgbColor rgb="FFFF99CC"/>
      <rgbColor rgb="FFCC99FF"/>
      <rgbColor rgb="FFFFCC99"/>
      <rgbColor rgb="FF3366FF"/>
      <rgbColor rgb="FF06D6A0"/>
      <rgbColor rgb="FF99CC00"/>
      <rgbColor rgb="FFFFCC00"/>
      <rgbColor rgb="FFFF9900"/>
      <rgbColor rgb="FFFF6B35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1"/>
    <col collapsed="false" customWidth="true" hidden="false" outlineLevel="0" max="3" min="3" style="0" width="26"/>
    <col collapsed="false" customWidth="true" hidden="false" outlineLevel="0" max="4" min="4" style="0" width="23"/>
    <col collapsed="false" customWidth="true" hidden="false" outlineLevel="0" max="5" min="5" style="0" width="18"/>
    <col collapsed="false" customWidth="true" hidden="false" outlineLevel="0" max="6" min="6" style="0" width="4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168000</v>
      </c>
      <c r="C2" s="3" t="n">
        <v>21000000</v>
      </c>
      <c r="D2" s="3" t="s">
        <v>7</v>
      </c>
      <c r="E2" s="3" t="s">
        <v>8</v>
      </c>
      <c r="F2" s="3" t="s">
        <v>9</v>
      </c>
    </row>
    <row r="3" customFormat="false" ht="15" hidden="false" customHeight="false" outlineLevel="0" collapsed="false">
      <c r="A3" s="4" t="s">
        <v>10</v>
      </c>
      <c r="B3" s="5" t="n">
        <v>121000</v>
      </c>
      <c r="C3" s="5" t="n">
        <v>17500000</v>
      </c>
      <c r="D3" s="5" t="s">
        <v>11</v>
      </c>
      <c r="E3" s="5" t="s">
        <v>12</v>
      </c>
      <c r="F3" s="5" t="s">
        <v>9</v>
      </c>
    </row>
    <row r="4" customFormat="false" ht="15" hidden="false" customHeight="false" outlineLevel="0" collapsed="false">
      <c r="A4" s="2" t="s">
        <v>13</v>
      </c>
      <c r="B4" s="3" t="n">
        <v>322000</v>
      </c>
      <c r="C4" s="3" t="n">
        <v>18500000</v>
      </c>
      <c r="D4" s="3" t="s">
        <v>14</v>
      </c>
      <c r="E4" s="3" t="s">
        <v>15</v>
      </c>
      <c r="F4" s="3" t="s">
        <v>9</v>
      </c>
    </row>
    <row r="5" customFormat="false" ht="15" hidden="false" customHeight="false" outlineLevel="0" collapsed="false">
      <c r="A5" s="4" t="s">
        <v>16</v>
      </c>
      <c r="B5" s="5" t="n">
        <v>1025000</v>
      </c>
      <c r="C5" s="5" t="n">
        <v>26000000</v>
      </c>
      <c r="D5" s="5" t="s">
        <v>17</v>
      </c>
      <c r="E5" s="5" t="s">
        <v>18</v>
      </c>
      <c r="F5" s="5" t="s">
        <v>19</v>
      </c>
    </row>
    <row r="6" customFormat="false" ht="15" hidden="false" customHeight="false" outlineLevel="0" collapsed="false">
      <c r="A6" s="2" t="s">
        <v>20</v>
      </c>
      <c r="B6" s="3" t="n">
        <v>1530000</v>
      </c>
      <c r="C6" s="3" t="n">
        <v>26000000</v>
      </c>
      <c r="D6" s="3" t="s">
        <v>21</v>
      </c>
      <c r="E6" s="3" t="s">
        <v>22</v>
      </c>
      <c r="F6" s="3" t="s">
        <v>23</v>
      </c>
    </row>
    <row r="7" customFormat="false" ht="15" hidden="false" customHeight="false" outlineLevel="0" collapsed="false">
      <c r="A7" s="4" t="s">
        <v>24</v>
      </c>
      <c r="B7" s="5" t="n">
        <v>1408000</v>
      </c>
      <c r="C7" s="5" t="n">
        <v>26100000</v>
      </c>
      <c r="D7" s="5" t="s">
        <v>25</v>
      </c>
      <c r="E7" s="5" t="s">
        <v>26</v>
      </c>
      <c r="F7" s="5" t="s">
        <v>27</v>
      </c>
    </row>
    <row r="8" customFormat="false" ht="15" hidden="false" customHeight="false" outlineLevel="0" collapsed="false">
      <c r="A8" s="2" t="s">
        <v>28</v>
      </c>
      <c r="B8" s="3" t="n">
        <v>2270346</v>
      </c>
      <c r="C8" s="3" t="n">
        <v>28200000</v>
      </c>
      <c r="D8" s="3" t="s">
        <v>29</v>
      </c>
      <c r="E8" s="3" t="s">
        <v>30</v>
      </c>
      <c r="F8" s="3" t="s">
        <v>31</v>
      </c>
    </row>
    <row r="10" customFormat="false" ht="15" hidden="false" customHeight="false" outlineLevel="0" collapsed="false">
      <c r="A10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24"/>
    <col collapsed="false" customWidth="true" hidden="false" outlineLevel="0" max="5" min="5" style="0" width="29"/>
    <col collapsed="false" customWidth="true" hidden="false" outlineLevel="0" max="6" min="6" style="0" width="27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5</v>
      </c>
    </row>
    <row r="2" customFormat="false" ht="15" hidden="false" customHeight="false" outlineLevel="0" collapsed="false">
      <c r="A2" s="2" t="s">
        <v>38</v>
      </c>
      <c r="B2" s="3" t="n">
        <v>1279951</v>
      </c>
      <c r="C2" s="3" t="s">
        <v>39</v>
      </c>
      <c r="D2" s="3" t="s">
        <v>40</v>
      </c>
      <c r="E2" s="3" t="s">
        <v>41</v>
      </c>
      <c r="F2" s="3" t="s">
        <v>42</v>
      </c>
    </row>
    <row r="3" customFormat="false" ht="15" hidden="false" customHeight="false" outlineLevel="0" collapsed="false">
      <c r="A3" s="4" t="s">
        <v>43</v>
      </c>
      <c r="B3" s="5" t="n">
        <v>580000</v>
      </c>
      <c r="C3" s="5" t="s">
        <v>44</v>
      </c>
      <c r="D3" s="5" t="s">
        <v>45</v>
      </c>
      <c r="E3" s="5" t="s">
        <v>46</v>
      </c>
      <c r="F3" s="5" t="s">
        <v>42</v>
      </c>
    </row>
    <row r="4" customFormat="false" ht="15" hidden="false" customHeight="false" outlineLevel="0" collapsed="false">
      <c r="A4" s="2" t="s">
        <v>47</v>
      </c>
      <c r="B4" s="3" t="n">
        <v>220000</v>
      </c>
      <c r="C4" s="3" t="s">
        <v>48</v>
      </c>
      <c r="D4" s="3" t="s">
        <v>49</v>
      </c>
      <c r="E4" s="3" t="s">
        <v>50</v>
      </c>
      <c r="F4" s="3" t="s">
        <v>42</v>
      </c>
    </row>
    <row r="5" customFormat="false" ht="15" hidden="false" customHeight="false" outlineLevel="0" collapsed="false">
      <c r="A5" s="4" t="s">
        <v>51</v>
      </c>
      <c r="B5" s="5" t="n">
        <v>196724</v>
      </c>
      <c r="C5" s="5" t="s">
        <v>52</v>
      </c>
      <c r="D5" s="5" t="s">
        <v>53</v>
      </c>
      <c r="E5" s="5" t="s">
        <v>54</v>
      </c>
      <c r="F5" s="5" t="s">
        <v>42</v>
      </c>
    </row>
    <row r="6" customFormat="false" ht="15" hidden="false" customHeight="false" outlineLevel="0" collapsed="false">
      <c r="A6" s="2" t="s">
        <v>55</v>
      </c>
      <c r="B6" s="3" t="n">
        <v>6000</v>
      </c>
      <c r="C6" s="3" t="s">
        <v>56</v>
      </c>
      <c r="D6" s="3" t="s">
        <v>57</v>
      </c>
      <c r="E6" s="3" t="s">
        <v>58</v>
      </c>
      <c r="F6" s="3" t="s">
        <v>59</v>
      </c>
    </row>
    <row r="7" customFormat="false" ht="15" hidden="false" customHeight="false" outlineLevel="0" collapsed="false">
      <c r="A7" s="4" t="s">
        <v>60</v>
      </c>
      <c r="B7" s="5" t="n">
        <v>15000</v>
      </c>
      <c r="C7" s="5" t="s">
        <v>61</v>
      </c>
      <c r="D7" s="5" t="s">
        <v>62</v>
      </c>
      <c r="E7" s="5" t="s">
        <v>63</v>
      </c>
      <c r="F7" s="5" t="s">
        <v>64</v>
      </c>
    </row>
    <row r="8" customFormat="false" ht="15" hidden="false" customHeight="false" outlineLevel="0" collapsed="false">
      <c r="A8" s="7" t="s">
        <v>65</v>
      </c>
      <c r="B8" s="8" t="n">
        <f aca="false">SUM(B2:B7)</f>
        <v>2297675</v>
      </c>
      <c r="C8" s="8" t="s">
        <v>66</v>
      </c>
      <c r="D8" s="8" t="s">
        <v>67</v>
      </c>
      <c r="E8" s="8" t="s">
        <v>68</v>
      </c>
      <c r="F8" s="8" t="s">
        <v>69</v>
      </c>
    </row>
    <row r="10" customFormat="false" ht="15" hidden="false" customHeight="false" outlineLevel="0" collapsed="false">
      <c r="A10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44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5</v>
      </c>
    </row>
    <row r="2" customFormat="false" ht="15" hidden="false" customHeight="false" outlineLevel="0" collapsed="false">
      <c r="A2" s="2" t="s">
        <v>76</v>
      </c>
      <c r="B2" s="3" t="n">
        <v>28000</v>
      </c>
      <c r="C2" s="3" t="s">
        <v>77</v>
      </c>
      <c r="D2" s="3" t="s">
        <v>78</v>
      </c>
      <c r="E2" s="3" t="s">
        <v>79</v>
      </c>
      <c r="F2" s="3" t="s">
        <v>80</v>
      </c>
    </row>
    <row r="3" customFormat="false" ht="15" hidden="false" customHeight="false" outlineLevel="0" collapsed="false">
      <c r="A3" s="4" t="s">
        <v>81</v>
      </c>
      <c r="B3" s="5" t="n">
        <v>55000</v>
      </c>
      <c r="C3" s="5" t="s">
        <v>77</v>
      </c>
      <c r="D3" s="5" t="s">
        <v>82</v>
      </c>
      <c r="E3" s="5" t="s">
        <v>83</v>
      </c>
      <c r="F3" s="5" t="s">
        <v>84</v>
      </c>
    </row>
    <row r="4" customFormat="false" ht="15" hidden="false" customHeight="false" outlineLevel="0" collapsed="false">
      <c r="A4" s="2" t="s">
        <v>85</v>
      </c>
      <c r="B4" s="3" t="n">
        <v>120000</v>
      </c>
      <c r="C4" s="3" t="s">
        <v>77</v>
      </c>
      <c r="D4" s="3" t="s">
        <v>86</v>
      </c>
      <c r="E4" s="3" t="s">
        <v>87</v>
      </c>
      <c r="F4" s="3" t="s">
        <v>84</v>
      </c>
    </row>
    <row r="5" customFormat="false" ht="15" hidden="false" customHeight="false" outlineLevel="0" collapsed="false">
      <c r="A5" s="4" t="s">
        <v>88</v>
      </c>
      <c r="B5" s="5" t="n">
        <v>323913</v>
      </c>
      <c r="C5" s="5" t="s">
        <v>89</v>
      </c>
      <c r="D5" s="5" t="s">
        <v>90</v>
      </c>
      <c r="E5" s="5" t="s">
        <v>91</v>
      </c>
      <c r="F5" s="5" t="s">
        <v>92</v>
      </c>
    </row>
    <row r="6" customFormat="false" ht="15" hidden="false" customHeight="false" outlineLevel="0" collapsed="false">
      <c r="A6" s="2" t="s">
        <v>93</v>
      </c>
      <c r="B6" s="3" t="n">
        <v>12111</v>
      </c>
      <c r="C6" s="3" t="s">
        <v>94</v>
      </c>
      <c r="D6" s="3" t="s">
        <v>95</v>
      </c>
      <c r="E6" s="3" t="s">
        <v>96</v>
      </c>
      <c r="F6" s="3" t="s">
        <v>97</v>
      </c>
    </row>
    <row r="7" customFormat="false" ht="15" hidden="false" customHeight="false" outlineLevel="0" collapsed="false">
      <c r="A7" s="4" t="s">
        <v>98</v>
      </c>
      <c r="B7" s="5" t="n">
        <v>26460</v>
      </c>
      <c r="C7" s="5" t="s">
        <v>94</v>
      </c>
      <c r="D7" s="5" t="s">
        <v>99</v>
      </c>
      <c r="E7" s="5" t="s">
        <v>100</v>
      </c>
      <c r="F7" s="5" t="s">
        <v>101</v>
      </c>
    </row>
    <row r="10" customFormat="false" ht="15" hidden="false" customHeight="false" outlineLevel="0" collapsed="false">
      <c r="A10" s="10" t="s">
        <v>102</v>
      </c>
    </row>
    <row r="11" customFormat="false" ht="15" hidden="false" customHeight="false" outlineLevel="0" collapsed="false">
      <c r="A11" s="9" t="s">
        <v>103</v>
      </c>
      <c r="B11" s="9" t="s">
        <v>104</v>
      </c>
      <c r="C11" s="9" t="s">
        <v>105</v>
      </c>
      <c r="D11" s="9" t="s">
        <v>106</v>
      </c>
      <c r="E11" s="9" t="s">
        <v>107</v>
      </c>
    </row>
    <row r="12" customFormat="false" ht="15" hidden="false" customHeight="false" outlineLevel="0" collapsed="false">
      <c r="A12" s="2" t="s">
        <v>108</v>
      </c>
      <c r="B12" s="3" t="n">
        <v>21489</v>
      </c>
      <c r="C12" s="3" t="s">
        <v>109</v>
      </c>
      <c r="D12" s="3" t="s">
        <v>110</v>
      </c>
      <c r="E12" s="3" t="s">
        <v>111</v>
      </c>
    </row>
    <row r="13" customFormat="false" ht="15" hidden="false" customHeight="false" outlineLevel="0" collapsed="false">
      <c r="A13" s="4" t="s">
        <v>112</v>
      </c>
      <c r="B13" s="5" t="n">
        <v>4745</v>
      </c>
      <c r="C13" s="5" t="s">
        <v>113</v>
      </c>
      <c r="D13" s="5" t="s">
        <v>114</v>
      </c>
      <c r="E13" s="5" t="s">
        <v>115</v>
      </c>
    </row>
    <row r="14" customFormat="false" ht="15" hidden="false" customHeight="false" outlineLevel="0" collapsed="false">
      <c r="A14" s="2" t="s">
        <v>116</v>
      </c>
      <c r="B14" s="3" t="n">
        <v>226</v>
      </c>
      <c r="C14" s="3" t="s">
        <v>117</v>
      </c>
      <c r="D14" s="3" t="s">
        <v>8</v>
      </c>
      <c r="E14" s="3" t="s">
        <v>118</v>
      </c>
    </row>
    <row r="17" customFormat="false" ht="15" hidden="false" customHeight="false" outlineLevel="0" collapsed="false">
      <c r="A17" s="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103</v>
      </c>
      <c r="B1" s="1" t="s">
        <v>120</v>
      </c>
      <c r="C1" s="1" t="s">
        <v>121</v>
      </c>
      <c r="D1" s="1" t="s">
        <v>34</v>
      </c>
      <c r="E1" s="1" t="s">
        <v>122</v>
      </c>
      <c r="F1" s="1" t="s">
        <v>4</v>
      </c>
      <c r="G1" s="1" t="s">
        <v>5</v>
      </c>
    </row>
    <row r="2" customFormat="false" ht="15" hidden="false" customHeight="false" outlineLevel="0" collapsed="false">
      <c r="A2" s="2" t="s">
        <v>123</v>
      </c>
      <c r="B2" s="3" t="n">
        <v>60000</v>
      </c>
      <c r="C2" s="3" t="s">
        <v>124</v>
      </c>
      <c r="D2" s="3" t="n">
        <v>76899</v>
      </c>
      <c r="E2" s="3" t="s">
        <v>125</v>
      </c>
      <c r="F2" s="3" t="s">
        <v>126</v>
      </c>
      <c r="G2" s="3" t="s">
        <v>127</v>
      </c>
    </row>
    <row r="3" customFormat="false" ht="15" hidden="false" customHeight="false" outlineLevel="0" collapsed="false">
      <c r="A3" s="4" t="s">
        <v>128</v>
      </c>
      <c r="B3" s="5" t="n">
        <v>10000</v>
      </c>
      <c r="C3" s="5" t="s">
        <v>129</v>
      </c>
      <c r="D3" s="5" t="n">
        <v>49590</v>
      </c>
      <c r="E3" s="5" t="s">
        <v>130</v>
      </c>
      <c r="F3" s="5" t="s">
        <v>131</v>
      </c>
      <c r="G3" s="5" t="s">
        <v>127</v>
      </c>
    </row>
    <row r="4" customFormat="false" ht="15" hidden="false" customHeight="false" outlineLevel="0" collapsed="false">
      <c r="A4" s="2" t="s">
        <v>132</v>
      </c>
      <c r="B4" s="3" t="n">
        <v>14000</v>
      </c>
      <c r="C4" s="3" t="s">
        <v>133</v>
      </c>
      <c r="D4" s="3" t="n">
        <v>34000</v>
      </c>
      <c r="E4" s="3" t="s">
        <v>134</v>
      </c>
      <c r="F4" s="3" t="s">
        <v>135</v>
      </c>
      <c r="G4" s="3" t="s">
        <v>127</v>
      </c>
    </row>
    <row r="5" customFormat="false" ht="15" hidden="false" customHeight="false" outlineLevel="0" collapsed="false">
      <c r="A5" s="4" t="s">
        <v>136</v>
      </c>
      <c r="B5" s="5" t="n">
        <v>5000</v>
      </c>
      <c r="C5" s="5" t="s">
        <v>129</v>
      </c>
      <c r="D5" s="5" t="n">
        <v>9000</v>
      </c>
      <c r="E5" s="5" t="s">
        <v>137</v>
      </c>
      <c r="F5" s="5" t="s">
        <v>138</v>
      </c>
      <c r="G5" s="5" t="s">
        <v>84</v>
      </c>
    </row>
    <row r="6" customFormat="false" ht="15" hidden="false" customHeight="false" outlineLevel="0" collapsed="false">
      <c r="A6" s="2" t="s">
        <v>139</v>
      </c>
      <c r="B6" s="3" t="n">
        <v>4000</v>
      </c>
      <c r="C6" s="3" t="s">
        <v>140</v>
      </c>
      <c r="D6" s="3" t="n">
        <v>7500</v>
      </c>
      <c r="E6" s="3" t="s">
        <v>141</v>
      </c>
      <c r="F6" s="3" t="s">
        <v>142</v>
      </c>
      <c r="G6" s="3" t="s">
        <v>84</v>
      </c>
    </row>
    <row r="7" customFormat="false" ht="15" hidden="false" customHeight="false" outlineLevel="0" collapsed="false">
      <c r="A7" s="4" t="s">
        <v>143</v>
      </c>
      <c r="B7" s="5" t="n">
        <v>5000</v>
      </c>
      <c r="C7" s="5" t="s">
        <v>129</v>
      </c>
      <c r="D7" s="5" t="n">
        <v>19735</v>
      </c>
      <c r="E7" s="5" t="s">
        <v>144</v>
      </c>
      <c r="F7" s="5" t="s">
        <v>145</v>
      </c>
      <c r="G7" s="5" t="s">
        <v>84</v>
      </c>
    </row>
    <row r="8" customFormat="false" ht="15" hidden="false" customHeight="false" outlineLevel="0" collapsed="false">
      <c r="A8" s="7" t="s">
        <v>65</v>
      </c>
      <c r="B8" s="8" t="n">
        <f aca="false">SUM(B2:B7)</f>
        <v>98000</v>
      </c>
      <c r="C8" s="8" t="s">
        <v>146</v>
      </c>
      <c r="D8" s="8" t="n">
        <f aca="false">SUM(D2:D7)</f>
        <v>196724</v>
      </c>
      <c r="E8" s="8" t="s">
        <v>146</v>
      </c>
      <c r="F8" s="8" t="s">
        <v>53</v>
      </c>
      <c r="G8" s="8" t="s">
        <v>64</v>
      </c>
    </row>
    <row r="10" customFormat="false" ht="15" hidden="false" customHeight="false" outlineLevel="0" collapsed="false">
      <c r="A10" s="6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23"/>
    <col collapsed="false" customWidth="true" hidden="false" outlineLevel="0" max="5" min="5" style="0" width="45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5</v>
      </c>
    </row>
    <row r="2" customFormat="false" ht="15" hidden="false" customHeight="false" outlineLevel="0" collapsed="false">
      <c r="A2" s="2" t="s">
        <v>153</v>
      </c>
      <c r="B2" s="3" t="n">
        <v>400000</v>
      </c>
      <c r="C2" s="3" t="s">
        <v>113</v>
      </c>
      <c r="D2" s="3" t="s">
        <v>154</v>
      </c>
      <c r="E2" s="3" t="s">
        <v>155</v>
      </c>
      <c r="F2" s="3" t="s">
        <v>156</v>
      </c>
    </row>
    <row r="3" customFormat="false" ht="15" hidden="false" customHeight="false" outlineLevel="0" collapsed="false">
      <c r="A3" s="4" t="s">
        <v>157</v>
      </c>
      <c r="B3" s="5" t="n">
        <v>250000</v>
      </c>
      <c r="C3" s="5" t="s">
        <v>158</v>
      </c>
      <c r="D3" s="5" t="s">
        <v>159</v>
      </c>
      <c r="E3" s="5" t="s">
        <v>160</v>
      </c>
      <c r="F3" s="5" t="s">
        <v>156</v>
      </c>
    </row>
    <row r="4" customFormat="false" ht="15" hidden="false" customHeight="false" outlineLevel="0" collapsed="false">
      <c r="A4" s="2" t="s">
        <v>161</v>
      </c>
      <c r="B4" s="3" t="n">
        <v>180000</v>
      </c>
      <c r="C4" s="3" t="s">
        <v>162</v>
      </c>
      <c r="D4" s="3" t="s">
        <v>163</v>
      </c>
      <c r="E4" s="3" t="s">
        <v>164</v>
      </c>
      <c r="F4" s="3" t="s">
        <v>156</v>
      </c>
    </row>
    <row r="5" customFormat="false" ht="15" hidden="false" customHeight="false" outlineLevel="0" collapsed="false">
      <c r="A5" s="4" t="s">
        <v>165</v>
      </c>
      <c r="B5" s="5" t="n">
        <v>140000</v>
      </c>
      <c r="C5" s="5" t="s">
        <v>163</v>
      </c>
      <c r="D5" s="5" t="s">
        <v>166</v>
      </c>
      <c r="E5" s="5" t="s">
        <v>167</v>
      </c>
      <c r="F5" s="5" t="s">
        <v>168</v>
      </c>
    </row>
    <row r="6" customFormat="false" ht="15" hidden="false" customHeight="false" outlineLevel="0" collapsed="false">
      <c r="A6" s="2" t="s">
        <v>169</v>
      </c>
      <c r="B6" s="3" t="n">
        <v>120000</v>
      </c>
      <c r="C6" s="3" t="s">
        <v>170</v>
      </c>
      <c r="D6" s="3" t="s">
        <v>170</v>
      </c>
      <c r="E6" s="3" t="s">
        <v>171</v>
      </c>
      <c r="F6" s="3" t="s">
        <v>156</v>
      </c>
    </row>
    <row r="7" customFormat="false" ht="15" hidden="false" customHeight="false" outlineLevel="0" collapsed="false">
      <c r="A7" s="4" t="s">
        <v>172</v>
      </c>
      <c r="B7" s="5" t="n">
        <v>110000</v>
      </c>
      <c r="C7" s="5" t="s">
        <v>170</v>
      </c>
      <c r="D7" s="5" t="s">
        <v>170</v>
      </c>
      <c r="E7" s="5" t="s">
        <v>173</v>
      </c>
      <c r="F7" s="5" t="s">
        <v>156</v>
      </c>
    </row>
    <row r="8" customFormat="false" ht="15" hidden="false" customHeight="false" outlineLevel="0" collapsed="false">
      <c r="A8" s="2" t="s">
        <v>174</v>
      </c>
      <c r="B8" s="3" t="n">
        <v>90000</v>
      </c>
      <c r="C8" s="3" t="s">
        <v>175</v>
      </c>
      <c r="D8" s="3" t="s">
        <v>170</v>
      </c>
      <c r="E8" s="3" t="s">
        <v>176</v>
      </c>
      <c r="F8" s="3" t="s">
        <v>177</v>
      </c>
    </row>
    <row r="9" customFormat="false" ht="15" hidden="false" customHeight="false" outlineLevel="0" collapsed="false">
      <c r="A9" s="4" t="s">
        <v>178</v>
      </c>
      <c r="B9" s="5" t="n">
        <v>85000</v>
      </c>
      <c r="C9" s="5" t="s">
        <v>175</v>
      </c>
      <c r="D9" s="5" t="s">
        <v>179</v>
      </c>
      <c r="E9" s="5" t="s">
        <v>180</v>
      </c>
      <c r="F9" s="5" t="s">
        <v>181</v>
      </c>
    </row>
    <row r="10" customFormat="false" ht="15" hidden="false" customHeight="false" outlineLevel="0" collapsed="false">
      <c r="A10" s="2" t="s">
        <v>182</v>
      </c>
      <c r="B10" s="3" t="n">
        <v>35000</v>
      </c>
      <c r="C10" s="3" t="s">
        <v>183</v>
      </c>
      <c r="D10" s="3" t="s">
        <v>166</v>
      </c>
      <c r="E10" s="3" t="s">
        <v>184</v>
      </c>
      <c r="F10" s="3" t="s">
        <v>185</v>
      </c>
    </row>
    <row r="11" customFormat="false" ht="15" hidden="false" customHeight="false" outlineLevel="0" collapsed="false">
      <c r="A11" s="4" t="s">
        <v>186</v>
      </c>
      <c r="B11" s="5" t="n">
        <v>12000</v>
      </c>
      <c r="C11" s="5" t="s">
        <v>187</v>
      </c>
      <c r="D11" s="5" t="s">
        <v>113</v>
      </c>
      <c r="E11" s="5" t="s">
        <v>188</v>
      </c>
      <c r="F11" s="5" t="s">
        <v>181</v>
      </c>
    </row>
    <row r="12" customFormat="false" ht="15" hidden="false" customHeight="false" outlineLevel="0" collapsed="false">
      <c r="A12" s="2" t="s">
        <v>189</v>
      </c>
      <c r="B12" s="3" t="n">
        <v>800000</v>
      </c>
      <c r="C12" s="3" t="s">
        <v>190</v>
      </c>
      <c r="D12" s="3" t="s">
        <v>191</v>
      </c>
      <c r="E12" s="3" t="s">
        <v>192</v>
      </c>
      <c r="F12" s="3" t="s">
        <v>193</v>
      </c>
    </row>
    <row r="14" customFormat="false" ht="15" hidden="false" customHeight="false" outlineLevel="0" collapsed="false">
      <c r="A14" s="6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1"/>
    <col collapsed="false" customWidth="true" hidden="false" outlineLevel="0" max="3" min="3" style="0" width="20"/>
    <col collapsed="false" customWidth="true" hidden="false" outlineLevel="0" max="5" min="4" style="0" width="45"/>
    <col collapsed="false" customWidth="true" hidden="false" outlineLevel="0" max="6" min="6" style="0" width="37"/>
  </cols>
  <sheetData>
    <row r="1" customFormat="false" ht="15" hidden="false" customHeight="false" outlineLevel="0" collapsed="false">
      <c r="A1" s="11" t="s">
        <v>195</v>
      </c>
      <c r="B1" s="11" t="s">
        <v>71</v>
      </c>
      <c r="C1" s="11" t="s">
        <v>196</v>
      </c>
      <c r="D1" s="11" t="s">
        <v>197</v>
      </c>
      <c r="E1" s="11" t="s">
        <v>198</v>
      </c>
      <c r="F1" s="11" t="s">
        <v>5</v>
      </c>
    </row>
    <row r="2" customFormat="false" ht="15" hidden="false" customHeight="false" outlineLevel="0" collapsed="false">
      <c r="A2" s="2" t="s">
        <v>199</v>
      </c>
      <c r="B2" s="3" t="s">
        <v>200</v>
      </c>
      <c r="C2" s="3" t="s">
        <v>201</v>
      </c>
      <c r="D2" s="3" t="s">
        <v>202</v>
      </c>
      <c r="E2" s="3" t="s">
        <v>203</v>
      </c>
      <c r="F2" s="3" t="s">
        <v>204</v>
      </c>
    </row>
    <row r="3" customFormat="false" ht="15" hidden="false" customHeight="false" outlineLevel="0" collapsed="false">
      <c r="A3" s="4" t="s">
        <v>205</v>
      </c>
      <c r="B3" s="5" t="s">
        <v>206</v>
      </c>
      <c r="C3" s="5" t="s">
        <v>207</v>
      </c>
      <c r="D3" s="5" t="s">
        <v>208</v>
      </c>
      <c r="E3" s="5" t="s">
        <v>209</v>
      </c>
      <c r="F3" s="5" t="s">
        <v>210</v>
      </c>
    </row>
    <row r="4" customFormat="false" ht="15" hidden="false" customHeight="false" outlineLevel="0" collapsed="false">
      <c r="A4" s="2" t="s">
        <v>211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</row>
    <row r="5" customFormat="false" ht="15" hidden="false" customHeight="false" outlineLevel="0" collapsed="false">
      <c r="A5" s="4" t="s">
        <v>217</v>
      </c>
      <c r="B5" s="5" t="s">
        <v>218</v>
      </c>
      <c r="C5" s="5" t="s">
        <v>219</v>
      </c>
      <c r="D5" s="5" t="s">
        <v>220</v>
      </c>
      <c r="E5" s="5" t="s">
        <v>221</v>
      </c>
      <c r="F5" s="5" t="s">
        <v>222</v>
      </c>
    </row>
    <row r="6" customFormat="false" ht="15" hidden="false" customHeight="false" outlineLevel="0" collapsed="false">
      <c r="A6" s="2" t="s">
        <v>223</v>
      </c>
      <c r="B6" s="3" t="s">
        <v>224</v>
      </c>
      <c r="C6" s="3" t="s">
        <v>225</v>
      </c>
      <c r="D6" s="3" t="s">
        <v>226</v>
      </c>
      <c r="E6" s="3" t="s">
        <v>227</v>
      </c>
      <c r="F6" s="3" t="s">
        <v>228</v>
      </c>
    </row>
    <row r="7" customFormat="false" ht="15" hidden="false" customHeight="false" outlineLevel="0" collapsed="false">
      <c r="A7" s="4" t="s">
        <v>229</v>
      </c>
      <c r="B7" s="5" t="s">
        <v>230</v>
      </c>
      <c r="C7" s="5" t="s">
        <v>231</v>
      </c>
      <c r="D7" s="5" t="s">
        <v>232</v>
      </c>
      <c r="E7" s="5" t="s">
        <v>233</v>
      </c>
      <c r="F7" s="5" t="s">
        <v>234</v>
      </c>
    </row>
    <row r="8" customFormat="false" ht="15" hidden="false" customHeight="false" outlineLevel="0" collapsed="false">
      <c r="A8" s="2" t="s">
        <v>235</v>
      </c>
      <c r="B8" s="3" t="s">
        <v>236</v>
      </c>
      <c r="C8" s="3" t="s">
        <v>8</v>
      </c>
      <c r="D8" s="3" t="s">
        <v>237</v>
      </c>
      <c r="E8" s="3" t="s">
        <v>238</v>
      </c>
      <c r="F8" s="3" t="s">
        <v>239</v>
      </c>
    </row>
    <row r="9" customFormat="false" ht="15" hidden="false" customHeight="false" outlineLevel="0" collapsed="false">
      <c r="A9" s="4" t="s">
        <v>240</v>
      </c>
      <c r="B9" s="5" t="s">
        <v>241</v>
      </c>
      <c r="C9" s="5" t="s">
        <v>8</v>
      </c>
      <c r="D9" s="5" t="s">
        <v>242</v>
      </c>
      <c r="E9" s="5" t="s">
        <v>243</v>
      </c>
      <c r="F9" s="5" t="s">
        <v>244</v>
      </c>
    </row>
    <row r="11" customFormat="false" ht="15" hidden="false" customHeight="false" outlineLevel="0" collapsed="false">
      <c r="A11" s="6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9"/>
    <col collapsed="false" customWidth="true" hidden="false" outlineLevel="0" max="5" min="5" style="0" width="23"/>
    <col collapsed="false" customWidth="true" hidden="false" outlineLevel="0" max="6" min="6" style="0" width="38"/>
    <col collapsed="false" customWidth="true" hidden="false" outlineLevel="0" max="7" min="7" style="0" width="29"/>
  </cols>
  <sheetData>
    <row r="1" customFormat="false" ht="15" hidden="false" customHeight="false" outlineLevel="0" collapsed="false">
      <c r="A1" s="1" t="s">
        <v>0</v>
      </c>
      <c r="B1" s="1" t="s">
        <v>246</v>
      </c>
      <c r="C1" s="1" t="s">
        <v>247</v>
      </c>
      <c r="D1" s="1" t="s">
        <v>248</v>
      </c>
      <c r="E1" s="1" t="s">
        <v>3</v>
      </c>
      <c r="F1" s="1" t="s">
        <v>249</v>
      </c>
      <c r="G1" s="1" t="s">
        <v>5</v>
      </c>
    </row>
    <row r="2" customFormat="false" ht="15" hidden="false" customHeight="false" outlineLevel="0" collapsed="false">
      <c r="A2" s="2" t="s">
        <v>250</v>
      </c>
      <c r="B2" s="3" t="n">
        <v>1.03</v>
      </c>
      <c r="C2" s="3" t="n">
        <v>0.06</v>
      </c>
      <c r="D2" s="3" t="n">
        <f aca="false">B2+C2</f>
        <v>1.09</v>
      </c>
      <c r="E2" s="3" t="s">
        <v>141</v>
      </c>
      <c r="F2" s="3" t="s">
        <v>251</v>
      </c>
      <c r="G2" s="3" t="s">
        <v>252</v>
      </c>
    </row>
    <row r="3" customFormat="false" ht="15" hidden="false" customHeight="false" outlineLevel="0" collapsed="false">
      <c r="A3" s="4" t="s">
        <v>253</v>
      </c>
      <c r="B3" s="5" t="n">
        <v>1.53</v>
      </c>
      <c r="C3" s="5" t="n">
        <v>0.1</v>
      </c>
      <c r="D3" s="5" t="n">
        <f aca="false">B3+C3</f>
        <v>1.63</v>
      </c>
      <c r="E3" s="5" t="s">
        <v>21</v>
      </c>
      <c r="F3" s="5" t="s">
        <v>251</v>
      </c>
      <c r="G3" s="5" t="s">
        <v>252</v>
      </c>
    </row>
    <row r="4" customFormat="false" ht="15" hidden="false" customHeight="false" outlineLevel="0" collapsed="false">
      <c r="A4" s="2" t="s">
        <v>254</v>
      </c>
      <c r="B4" s="3" t="n">
        <v>1.95</v>
      </c>
      <c r="C4" s="3" t="n">
        <v>0.32</v>
      </c>
      <c r="D4" s="3" t="n">
        <f aca="false">B4+C4</f>
        <v>2.27</v>
      </c>
      <c r="E4" s="3" t="s">
        <v>25</v>
      </c>
      <c r="F4" s="3" t="s">
        <v>255</v>
      </c>
      <c r="G4" s="3" t="s">
        <v>256</v>
      </c>
    </row>
    <row r="5" customFormat="false" ht="15" hidden="false" customHeight="false" outlineLevel="0" collapsed="false">
      <c r="A5" s="4" t="s">
        <v>257</v>
      </c>
      <c r="B5" s="5" t="n">
        <v>2.27</v>
      </c>
      <c r="C5" s="5" t="n">
        <v>0.5</v>
      </c>
      <c r="D5" s="5" t="n">
        <f aca="false">B5+C5</f>
        <v>2.77</v>
      </c>
      <c r="E5" s="5" t="s">
        <v>258</v>
      </c>
      <c r="F5" s="5" t="s">
        <v>259</v>
      </c>
      <c r="G5" s="5" t="s">
        <v>156</v>
      </c>
    </row>
    <row r="6" customFormat="false" ht="15" hidden="false" customHeight="false" outlineLevel="0" collapsed="false">
      <c r="A6" s="2" t="s">
        <v>260</v>
      </c>
      <c r="B6" s="3" t="n">
        <v>2.9</v>
      </c>
      <c r="C6" s="3" t="n">
        <v>0.7</v>
      </c>
      <c r="D6" s="3" t="n">
        <f aca="false">B6+C6</f>
        <v>3.6</v>
      </c>
      <c r="E6" s="3" t="s">
        <v>261</v>
      </c>
      <c r="F6" s="3" t="s">
        <v>262</v>
      </c>
      <c r="G6" s="3" t="s">
        <v>263</v>
      </c>
    </row>
    <row r="7" customFormat="false" ht="15" hidden="false" customHeight="false" outlineLevel="0" collapsed="false">
      <c r="A7" s="4" t="s">
        <v>264</v>
      </c>
      <c r="B7" s="5" t="n">
        <v>3.8</v>
      </c>
      <c r="C7" s="5" t="n">
        <v>1</v>
      </c>
      <c r="D7" s="5" t="n">
        <f aca="false">B7+C7</f>
        <v>4.8</v>
      </c>
      <c r="E7" s="5" t="s">
        <v>265</v>
      </c>
      <c r="F7" s="5" t="s">
        <v>266</v>
      </c>
      <c r="G7" s="5" t="s">
        <v>267</v>
      </c>
    </row>
    <row r="8" customFormat="false" ht="15" hidden="false" customHeight="false" outlineLevel="0" collapsed="false">
      <c r="A8" s="2" t="s">
        <v>268</v>
      </c>
      <c r="B8" s="3" t="n">
        <v>5.2</v>
      </c>
      <c r="C8" s="3" t="n">
        <v>1.25</v>
      </c>
      <c r="D8" s="3" t="n">
        <f aca="false">B8+C8</f>
        <v>6.45</v>
      </c>
      <c r="E8" s="3" t="s">
        <v>269</v>
      </c>
      <c r="F8" s="3" t="s">
        <v>270</v>
      </c>
      <c r="G8" s="3" t="s">
        <v>267</v>
      </c>
    </row>
    <row r="9" customFormat="false" ht="15" hidden="false" customHeight="false" outlineLevel="0" collapsed="false">
      <c r="A9" s="4" t="s">
        <v>271</v>
      </c>
      <c r="B9" s="5" t="n">
        <v>7.1</v>
      </c>
      <c r="C9" s="5" t="n">
        <v>1.5</v>
      </c>
      <c r="D9" s="5" t="n">
        <f aca="false">B9+C9</f>
        <v>8.6</v>
      </c>
      <c r="E9" s="5" t="s">
        <v>272</v>
      </c>
      <c r="F9" s="5" t="s">
        <v>273</v>
      </c>
      <c r="G9" s="5" t="s">
        <v>274</v>
      </c>
    </row>
    <row r="10" customFormat="false" ht="15" hidden="false" customHeight="false" outlineLevel="0" collapsed="false">
      <c r="A10" s="12" t="s">
        <v>275</v>
      </c>
      <c r="B10" s="13" t="n">
        <v>9.5</v>
      </c>
      <c r="C10" s="13" t="n">
        <v>1.73</v>
      </c>
      <c r="D10" s="13" t="n">
        <f aca="false">B10+C10</f>
        <v>11.23</v>
      </c>
      <c r="E10" s="13" t="s">
        <v>276</v>
      </c>
      <c r="F10" s="13" t="s">
        <v>277</v>
      </c>
      <c r="G10" s="13" t="s">
        <v>278</v>
      </c>
    </row>
    <row r="12" customFormat="false" ht="15" hidden="false" customHeight="false" outlineLevel="0" collapsed="false">
      <c r="A12" s="6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1"/>
    <col collapsed="false" customWidth="true" hidden="false" outlineLevel="0" max="4" min="3" style="0" width="17"/>
    <col collapsed="false" customWidth="true" hidden="false" outlineLevel="0" max="5" min="5" style="0" width="31"/>
  </cols>
  <sheetData>
    <row r="1" customFormat="false" ht="15" hidden="false" customHeight="false" outlineLevel="0" collapsed="false">
      <c r="A1" s="1" t="s">
        <v>280</v>
      </c>
      <c r="B1" s="1" t="s">
        <v>281</v>
      </c>
      <c r="C1" s="1" t="s">
        <v>282</v>
      </c>
      <c r="D1" s="1" t="s">
        <v>71</v>
      </c>
      <c r="E1" s="1" t="s">
        <v>5</v>
      </c>
    </row>
    <row r="2" customFormat="false" ht="15" hidden="false" customHeight="false" outlineLevel="0" collapsed="false">
      <c r="A2" s="2" t="s">
        <v>283</v>
      </c>
      <c r="B2" s="3" t="n">
        <v>29151</v>
      </c>
      <c r="C2" s="3" t="s">
        <v>284</v>
      </c>
      <c r="D2" s="3" t="s">
        <v>285</v>
      </c>
      <c r="E2" s="3" t="s">
        <v>234</v>
      </c>
    </row>
    <row r="3" customFormat="false" ht="15" hidden="false" customHeight="false" outlineLevel="0" collapsed="false">
      <c r="A3" s="4" t="s">
        <v>286</v>
      </c>
      <c r="B3" s="5" t="n">
        <v>9332</v>
      </c>
      <c r="C3" s="5" t="s">
        <v>284</v>
      </c>
      <c r="D3" s="5" t="s">
        <v>287</v>
      </c>
      <c r="E3" s="5" t="s">
        <v>288</v>
      </c>
    </row>
    <row r="4" customFormat="false" ht="15" hidden="false" customHeight="false" outlineLevel="0" collapsed="false">
      <c r="A4" s="2" t="s">
        <v>289</v>
      </c>
      <c r="B4" s="3" t="n">
        <v>8885</v>
      </c>
      <c r="C4" s="3" t="s">
        <v>284</v>
      </c>
      <c r="D4" s="3" t="s">
        <v>287</v>
      </c>
      <c r="E4" s="3" t="s">
        <v>288</v>
      </c>
    </row>
    <row r="5" customFormat="false" ht="15" hidden="false" customHeight="false" outlineLevel="0" collapsed="false">
      <c r="A5" s="4" t="s">
        <v>290</v>
      </c>
      <c r="B5" s="5" t="n">
        <v>72300</v>
      </c>
      <c r="C5" s="5" t="s">
        <v>284</v>
      </c>
      <c r="D5" s="5" t="s">
        <v>291</v>
      </c>
      <c r="E5" s="5" t="s">
        <v>292</v>
      </c>
    </row>
    <row r="6" customFormat="false" ht="15" hidden="false" customHeight="false" outlineLevel="0" collapsed="false">
      <c r="A6" s="2" t="s">
        <v>293</v>
      </c>
      <c r="B6" s="3" t="n">
        <v>22100</v>
      </c>
      <c r="C6" s="3" t="s">
        <v>294</v>
      </c>
      <c r="D6" s="3" t="s">
        <v>295</v>
      </c>
      <c r="E6" s="3" t="s">
        <v>204</v>
      </c>
    </row>
    <row r="7" customFormat="false" ht="15" hidden="false" customHeight="false" outlineLevel="0" collapsed="false">
      <c r="A7" s="4" t="s">
        <v>296</v>
      </c>
      <c r="B7" s="5" t="n">
        <v>1800</v>
      </c>
      <c r="C7" s="5" t="s">
        <v>294</v>
      </c>
      <c r="D7" s="5" t="s">
        <v>295</v>
      </c>
      <c r="E7" s="5" t="s">
        <v>204</v>
      </c>
    </row>
    <row r="8" customFormat="false" ht="15" hidden="false" customHeight="false" outlineLevel="0" collapsed="false">
      <c r="A8" s="2" t="s">
        <v>297</v>
      </c>
      <c r="B8" s="3" t="n">
        <v>48400</v>
      </c>
      <c r="C8" s="3" t="s">
        <v>294</v>
      </c>
      <c r="D8" s="3" t="s">
        <v>295</v>
      </c>
      <c r="E8" s="3" t="s">
        <v>204</v>
      </c>
    </row>
    <row r="9" customFormat="false" ht="15" hidden="false" customHeight="false" outlineLevel="0" collapsed="false">
      <c r="A9" s="4" t="s">
        <v>298</v>
      </c>
      <c r="B9" s="5" t="n">
        <v>4500</v>
      </c>
      <c r="C9" s="5" t="s">
        <v>294</v>
      </c>
      <c r="D9" s="5" t="s">
        <v>299</v>
      </c>
      <c r="E9" s="5" t="s">
        <v>300</v>
      </c>
    </row>
    <row r="10" customFormat="false" ht="15" hidden="false" customHeight="false" outlineLevel="0" collapsed="false">
      <c r="A10" s="2" t="s">
        <v>301</v>
      </c>
      <c r="B10" s="3" t="n">
        <v>26000</v>
      </c>
      <c r="C10" s="3" t="s">
        <v>284</v>
      </c>
      <c r="D10" s="3" t="s">
        <v>299</v>
      </c>
      <c r="E10" s="3" t="s">
        <v>300</v>
      </c>
    </row>
    <row r="11" customFormat="false" ht="15" hidden="false" customHeight="false" outlineLevel="0" collapsed="false">
      <c r="A11" s="4" t="s">
        <v>302</v>
      </c>
      <c r="B11" s="5" t="n">
        <v>1320000</v>
      </c>
      <c r="C11" s="5" t="s">
        <v>284</v>
      </c>
      <c r="D11" s="5" t="s">
        <v>303</v>
      </c>
      <c r="E11" s="5" t="s">
        <v>304</v>
      </c>
    </row>
    <row r="12" customFormat="false" ht="15" hidden="false" customHeight="false" outlineLevel="0" collapsed="false">
      <c r="A12" s="2" t="s">
        <v>305</v>
      </c>
      <c r="B12" s="3" t="n">
        <v>400000</v>
      </c>
      <c r="C12" s="3" t="s">
        <v>306</v>
      </c>
      <c r="D12" s="3" t="s">
        <v>307</v>
      </c>
      <c r="E12" s="3" t="s">
        <v>308</v>
      </c>
    </row>
    <row r="13" customFormat="false" ht="15" hidden="false" customHeight="false" outlineLevel="0" collapsed="false">
      <c r="A13" s="4" t="s">
        <v>309</v>
      </c>
      <c r="B13" s="5" t="n">
        <v>2000</v>
      </c>
      <c r="C13" s="5" t="s">
        <v>310</v>
      </c>
      <c r="D13" s="5" t="s">
        <v>311</v>
      </c>
      <c r="E13" s="5" t="s">
        <v>204</v>
      </c>
    </row>
    <row r="14" customFormat="false" ht="15" hidden="false" customHeight="false" outlineLevel="0" collapsed="false">
      <c r="A14" s="2" t="s">
        <v>312</v>
      </c>
      <c r="B14" s="3" t="s">
        <v>313</v>
      </c>
      <c r="C14" s="3" t="s">
        <v>314</v>
      </c>
      <c r="D14" s="3" t="s">
        <v>311</v>
      </c>
      <c r="E14" s="3" t="s">
        <v>315</v>
      </c>
    </row>
    <row r="16" customFormat="false" ht="15" hidden="false" customHeight="false" outlineLevel="0" collapsed="false">
      <c r="A16" s="6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2026-06-02T07:07:44Z</dcterms:created>
  <dc:creator>openpyxl</dc:creator>
  <dc:description/>
  <dc:language>en-US</dc:language>
  <cp:lastModifiedBy/>
  <dcterms:modified xsi:type="dcterms:W3CDTF">2026-06-02T07:07:44Z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